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jianhuitao/Desktop/data/yousan/projects/"/>
    </mc:Choice>
  </mc:AlternateContent>
  <bookViews>
    <workbookView xWindow="1700" yWindow="600" windowWidth="28800" windowHeight="163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5" i="1" l="1"/>
  <c r="B24" i="1"/>
  <c r="B17" i="1"/>
  <c r="B18" i="1"/>
  <c r="B32" i="1"/>
  <c r="B19" i="1"/>
  <c r="B23" i="1"/>
  <c r="B35" i="1"/>
  <c r="B30" i="1"/>
  <c r="B16" i="1"/>
  <c r="B31" i="1"/>
  <c r="B33" i="1"/>
  <c r="B34" i="1"/>
  <c r="B36" i="1"/>
  <c r="B38" i="1"/>
  <c r="B20" i="1"/>
  <c r="B21" i="1"/>
  <c r="B22" i="1"/>
  <c r="B40" i="1"/>
  <c r="B27" i="1"/>
  <c r="B28" i="1"/>
  <c r="B39" i="1"/>
  <c r="B26" i="1"/>
</calcChain>
</file>

<file path=xl/comments1.xml><?xml version="1.0" encoding="utf-8"?>
<comments xmlns="http://schemas.openxmlformats.org/spreadsheetml/2006/main">
  <authors>
    <author>Microsoft Office User</author>
  </authors>
  <commentList>
    <comment ref="B16" authorId="0">
      <text/>
    </comment>
  </commentList>
</comments>
</file>

<file path=xl/sharedStrings.xml><?xml version="1.0" encoding="utf-8"?>
<sst xmlns="http://schemas.openxmlformats.org/spreadsheetml/2006/main" count="36" uniqueCount="36">
  <si>
    <t>Number of Columns</t>
  </si>
  <si>
    <t>Row Size(bytes)</t>
  </si>
  <si>
    <t>Rows in a Cache Block</t>
  </si>
  <si>
    <t>Number of Meters</t>
  </si>
  <si>
    <t>Cache Block Size(bytes)</t>
  </si>
  <si>
    <t>Cache Pool Size(G)</t>
  </si>
  <si>
    <t>Log Memory Mapping(G)</t>
  </si>
  <si>
    <t>Meta Data(G)</t>
  </si>
  <si>
    <t>Number of connections</t>
  </si>
  <si>
    <t>RPC(G)</t>
  </si>
  <si>
    <t>Sampling Period(seconds)</t>
  </si>
  <si>
    <t>Records Per Second</t>
  </si>
  <si>
    <t>Raw Data Per Second(M)</t>
  </si>
  <si>
    <t>Raw Data Per Day(G)</t>
  </si>
  <si>
    <t>Number of Records a batch</t>
  </si>
  <si>
    <t>Bandwidth(Mbits)</t>
  </si>
  <si>
    <t>CPU Cores Required</t>
  </si>
  <si>
    <t>Number of Vnodes</t>
  </si>
  <si>
    <t>Meters Per Vnode</t>
  </si>
  <si>
    <t xml:space="preserve">Replica </t>
  </si>
  <si>
    <t>Disk Increase Per Day(G)</t>
  </si>
  <si>
    <t>Commiting Time(seconds)</t>
  </si>
  <si>
    <t>Commit Log Size(G)</t>
  </si>
  <si>
    <t>Compression Ratio</t>
  </si>
  <si>
    <t>Number of Servers Required</t>
  </si>
  <si>
    <t>Memory required for a Server(G)</t>
  </si>
  <si>
    <t xml:space="preserve">Disk Increase Per Server a day(G) </t>
  </si>
  <si>
    <t>Other Memory(G)</t>
  </si>
  <si>
    <t>Average cache blocks a meter</t>
  </si>
  <si>
    <t>Tag Size(bytes)</t>
  </si>
  <si>
    <t>MeterObj on Vnode (bytes)</t>
  </si>
  <si>
    <t>MetaMgmt on Mnode(bytes)</t>
  </si>
  <si>
    <t>MeterObj on Vnode(G)</t>
  </si>
  <si>
    <t>Number of Vnodes Per Core</t>
  </si>
  <si>
    <t>Number of Cores Per Server</t>
  </si>
  <si>
    <t>Total Memory Size(G)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</si>
</sst>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40"/>
  <sheetViews>
    <sheetView tabSelected="1" zoomScale="126" zoomScaleNormal="126" zoomScalePageLayoutView="126" workbookViewId="0">
      <selection activeCell="A37" sqref="A37"/>
    </sheetView>
  </sheetViews>
  <sheetFormatPr baseColWidth="10" defaultRowHeight="16" x14ac:dyDescent="0.2"/>
  <cols>
    <col min="1" max="1" width="28" customWidth="1"/>
  </cols>
  <sheetData>
    <row r="2" spans="1:2" x14ac:dyDescent="0.2">
      <c r="A2" t="s">
        <v>0</v>
      </c>
      <c r="B2">
        <v>22</v>
      </c>
    </row>
    <row r="3" spans="1:2" x14ac:dyDescent="0.2">
      <c r="A3" t="s">
        <v>1</v>
      </c>
      <c r="B3">
        <v>88</v>
      </c>
    </row>
    <row r="4" spans="1:2" x14ac:dyDescent="0.2">
      <c r="A4" t="s">
        <v>2</v>
      </c>
      <c r="B4">
        <v>16</v>
      </c>
    </row>
    <row r="5" spans="1:2" x14ac:dyDescent="0.2">
      <c r="A5" t="s">
        <v>29</v>
      </c>
      <c r="B5">
        <v>4</v>
      </c>
    </row>
    <row r="6" spans="1:2" x14ac:dyDescent="0.2">
      <c r="A6" t="s">
        <v>28</v>
      </c>
      <c r="B6">
        <v>2</v>
      </c>
    </row>
    <row r="7" spans="1:2" x14ac:dyDescent="0.2">
      <c r="A7" t="s">
        <v>3</v>
      </c>
      <c r="B7">
        <v>40000000</v>
      </c>
    </row>
    <row r="8" spans="1:2" x14ac:dyDescent="0.2">
      <c r="A8" t="s">
        <v>8</v>
      </c>
      <c r="B8">
        <v>100</v>
      </c>
    </row>
    <row r="9" spans="1:2" x14ac:dyDescent="0.2">
      <c r="A9" t="s">
        <v>10</v>
      </c>
      <c r="B9">
        <v>900</v>
      </c>
    </row>
    <row r="10" spans="1:2" x14ac:dyDescent="0.2">
      <c r="A10" t="s">
        <v>14</v>
      </c>
      <c r="B10">
        <v>1</v>
      </c>
    </row>
    <row r="11" spans="1:2" x14ac:dyDescent="0.2">
      <c r="A11" t="s">
        <v>19</v>
      </c>
      <c r="B11">
        <v>1</v>
      </c>
    </row>
    <row r="12" spans="1:2" x14ac:dyDescent="0.2">
      <c r="A12" t="s">
        <v>23</v>
      </c>
      <c r="B12">
        <v>0.5</v>
      </c>
    </row>
    <row r="13" spans="1:2" x14ac:dyDescent="0.2">
      <c r="A13" t="s">
        <v>34</v>
      </c>
      <c r="B13">
        <v>4</v>
      </c>
    </row>
    <row r="14" spans="1:2" x14ac:dyDescent="0.2">
      <c r="A14" t="s">
        <v>33</v>
      </c>
      <c r="B14">
        <v>4</v>
      </c>
    </row>
    <row r="16" spans="1:2" x14ac:dyDescent="0.2">
      <c r="A16" t="s">
        <v>4</v>
      </c>
      <c r="B16">
        <f>28 + B2*8+B3*B4</f>
        <v>1612</v>
      </c>
    </row>
    <row r="17" spans="1:2" x14ac:dyDescent="0.2">
      <c r="A17" t="s">
        <v>31</v>
      </c>
      <c r="B17">
        <f>140+B2*20+B5</f>
        <v>584</v>
      </c>
    </row>
    <row r="18" spans="1:2" x14ac:dyDescent="0.2">
      <c r="A18" t="s">
        <v>30</v>
      </c>
      <c r="B18">
        <f>120+B2*20</f>
        <v>560</v>
      </c>
    </row>
    <row r="19" spans="1:2" x14ac:dyDescent="0.2">
      <c r="A19" t="s">
        <v>11</v>
      </c>
      <c r="B19">
        <f>B7/B9</f>
        <v>44444.444444444445</v>
      </c>
    </row>
    <row r="20" spans="1:2" x14ac:dyDescent="0.2">
      <c r="A20" t="s">
        <v>12</v>
      </c>
      <c r="B20">
        <f>B19*B3/1000000</f>
        <v>3.911111111111111</v>
      </c>
    </row>
    <row r="21" spans="1:2" x14ac:dyDescent="0.2">
      <c r="A21" t="s">
        <v>13</v>
      </c>
      <c r="B21">
        <f xml:space="preserve"> B20*24*3600/1000</f>
        <v>337.92</v>
      </c>
    </row>
    <row r="22" spans="1:2" x14ac:dyDescent="0.2">
      <c r="A22" t="s">
        <v>20</v>
      </c>
      <c r="B22">
        <f>B21*B11*B12</f>
        <v>168.96</v>
      </c>
    </row>
    <row r="23" spans="1:2" x14ac:dyDescent="0.2">
      <c r="A23" t="s">
        <v>15</v>
      </c>
      <c r="B23">
        <f>(B3*B10+60+28)*B19/B10*8/1000000</f>
        <v>62.577777777777776</v>
      </c>
    </row>
    <row r="24" spans="1:2" x14ac:dyDescent="0.2">
      <c r="A24" t="s">
        <v>16</v>
      </c>
      <c r="B24">
        <f>B11*B19/10000/B10</f>
        <v>4.4444444444444446</v>
      </c>
    </row>
    <row r="25" spans="1:2" x14ac:dyDescent="0.2">
      <c r="A25" t="s">
        <v>17</v>
      </c>
      <c r="B25">
        <f>B24*B14</f>
        <v>17.777777777777779</v>
      </c>
    </row>
    <row r="26" spans="1:2" x14ac:dyDescent="0.2">
      <c r="A26" t="s">
        <v>18</v>
      </c>
      <c r="B26">
        <f>B11*B7/B25</f>
        <v>2250000</v>
      </c>
    </row>
    <row r="27" spans="1:2" x14ac:dyDescent="0.2">
      <c r="A27" t="s">
        <v>21</v>
      </c>
      <c r="B27">
        <f>B4*B6/2*B9</f>
        <v>14400</v>
      </c>
    </row>
    <row r="28" spans="1:2" x14ac:dyDescent="0.2">
      <c r="A28" t="s">
        <v>22</v>
      </c>
      <c r="B28">
        <f>B11*B27*B20/1000</f>
        <v>56.32</v>
      </c>
    </row>
    <row r="30" spans="1:2" x14ac:dyDescent="0.2">
      <c r="A30" t="s">
        <v>7</v>
      </c>
      <c r="B30">
        <f>B17*B7/1000000000*B11</f>
        <v>23.36</v>
      </c>
    </row>
    <row r="31" spans="1:2" x14ac:dyDescent="0.2">
      <c r="A31" t="s">
        <v>5</v>
      </c>
      <c r="B31">
        <f>B16*B6*B7/1000000000*B11</f>
        <v>128.96</v>
      </c>
    </row>
    <row r="32" spans="1:2" x14ac:dyDescent="0.2">
      <c r="A32" t="s">
        <v>32</v>
      </c>
      <c r="B32">
        <f>B18*B7*B11/1000000000</f>
        <v>22.4</v>
      </c>
    </row>
    <row r="33" spans="1:2" x14ac:dyDescent="0.2">
      <c r="A33" t="s">
        <v>6</v>
      </c>
      <c r="B33">
        <f>B16*B7*1.5/1000000000*B11</f>
        <v>96.72</v>
      </c>
    </row>
    <row r="34" spans="1:2" x14ac:dyDescent="0.2">
      <c r="A34" t="s">
        <v>9</v>
      </c>
      <c r="B34">
        <f>B8*130/1000000*B11</f>
        <v>1.2999999999999999E-2</v>
      </c>
    </row>
    <row r="35" spans="1:2" x14ac:dyDescent="0.2">
      <c r="A35" t="s">
        <v>27</v>
      </c>
      <c r="B35">
        <f>512*B7/1000000000*B11</f>
        <v>20.48</v>
      </c>
    </row>
    <row r="36" spans="1:2" x14ac:dyDescent="0.2">
      <c r="A36" t="s">
        <v>35</v>
      </c>
      <c r="B36">
        <f>B30+B31+B33+B34</f>
        <v>249.053</v>
      </c>
    </row>
    <row r="38" spans="1:2" x14ac:dyDescent="0.2">
      <c r="A38" t="s">
        <v>24</v>
      </c>
      <c r="B38">
        <f>B24/B13</f>
        <v>1.1111111111111112</v>
      </c>
    </row>
    <row r="39" spans="1:2" x14ac:dyDescent="0.2">
      <c r="A39" t="s">
        <v>25</v>
      </c>
      <c r="B39">
        <f>B36/B38</f>
        <v>224.14769999999999</v>
      </c>
    </row>
    <row r="40" spans="1:2" x14ac:dyDescent="0.2">
      <c r="A40" t="s">
        <v>26</v>
      </c>
      <c r="B40">
        <f>B22/B38</f>
        <v>152.06399999999999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2018-05-01T10:44:23Z</dcterms:created>
  <dcterms:modified xsi:type="dcterms:W3CDTF">2018-05-02T03:19:31Z</dcterms:modified>
</cp:coreProperties>
</file>