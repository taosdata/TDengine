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showInkAnnotation="0"/>
  <mc:AlternateContent xmlns:mc="http://schemas.openxmlformats.org/markup-compatibility/2006">
    <mc:Choice Requires="x15">
      <x15ac:absPath xmlns:x15ac="http://schemas.microsoft.com/office/spreadsheetml/2010/11/ac" url="/Users/guanshengliang/work/TDinternal/enterprise/documentation/"/>
    </mc:Choice>
  </mc:AlternateContent>
  <xr:revisionPtr revIDLastSave="0" documentId="13_ncr:1_{21CBE4C9-8F47-824E-9751-494D399D92EE}" xr6:coauthVersionLast="45" xr6:coauthVersionMax="45" xr10:uidLastSave="{00000000-0000-0000-0000-000000000000}"/>
  <bookViews>
    <workbookView xWindow="0" yWindow="0" windowWidth="28800" windowHeight="18000" tabRatio="500" activeTab="3" xr2:uid="{00000000-000D-0000-FFFF-FFFF00000000}"/>
  </bookViews>
  <sheets>
    <sheet name="2018的版本" sheetId="2" r:id="rId1"/>
    <sheet name="2020的版本1" sheetId="1" r:id="rId2"/>
    <sheet name="2020版本2" sheetId="3" r:id="rId3"/>
    <sheet name="2020版本3" sheetId="4" r:id="rId4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0" i="4" l="1"/>
  <c r="C21" i="4" s="1"/>
  <c r="C35" i="4"/>
  <c r="C31" i="4"/>
  <c r="C34" i="4" s="1"/>
  <c r="C30" i="4"/>
  <c r="C32" i="4" s="1"/>
  <c r="C15" i="4"/>
  <c r="C17" i="4" s="1"/>
  <c r="C18" i="4" s="1"/>
  <c r="C19" i="4" s="1"/>
  <c r="C22" i="4" l="1"/>
  <c r="C16" i="4"/>
  <c r="C23" i="4"/>
  <c r="C16" i="3"/>
  <c r="C35" i="3" s="1"/>
  <c r="C34" i="3" s="1"/>
  <c r="C37" i="3"/>
  <c r="C38" i="3" s="1"/>
  <c r="C29" i="3"/>
  <c r="C25" i="3"/>
  <c r="C28" i="3" s="1"/>
  <c r="C24" i="3"/>
  <c r="C26" i="3" s="1"/>
  <c r="C15" i="3"/>
  <c r="C21" i="3" s="1"/>
  <c r="C26" i="4" l="1"/>
  <c r="C27" i="4" s="1"/>
  <c r="C30" i="3"/>
  <c r="C27" i="3"/>
  <c r="C31" i="3" s="1"/>
  <c r="C17" i="3"/>
  <c r="C18" i="3" s="1"/>
  <c r="C19" i="3" s="1"/>
  <c r="C20" i="3"/>
  <c r="C30" i="1"/>
  <c r="C27" i="1"/>
  <c r="C34" i="1"/>
  <c r="C29" i="1"/>
  <c r="C25" i="1"/>
  <c r="C28" i="1" s="1"/>
  <c r="C24" i="1"/>
  <c r="C26" i="1" s="1"/>
  <c r="C27" i="2"/>
  <c r="C26" i="2"/>
  <c r="C25" i="2"/>
  <c r="C24" i="2"/>
  <c r="C23" i="2"/>
  <c r="C28" i="2" s="1"/>
  <c r="C22" i="2"/>
  <c r="C21" i="2"/>
  <c r="C14" i="2"/>
  <c r="C15" i="2" s="1"/>
  <c r="C16" i="2" s="1"/>
  <c r="C13" i="2"/>
  <c r="C18" i="2" s="1"/>
  <c r="C36" i="1"/>
  <c r="C37" i="1" s="1"/>
  <c r="C33" i="4" l="1"/>
  <c r="C37" i="4" s="1"/>
  <c r="C36" i="4"/>
  <c r="C31" i="2"/>
  <c r="C17" i="2"/>
  <c r="C16" i="1" l="1"/>
  <c r="C21" i="1" s="1"/>
  <c r="C31" i="1" l="1"/>
  <c r="C20" i="1"/>
  <c r="C17" i="1"/>
  <c r="C18" i="1" l="1"/>
  <c r="C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建辉 陶</author>
  </authors>
  <commentList>
    <comment ref="C18" authorId="0" shapeId="0" xr:uid="{24E0B261-8772-BB4B-BF5D-EB68FA6553E1}">
      <text>
        <r>
          <rPr>
            <b/>
            <sz val="10"/>
            <color rgb="FF000000"/>
            <rFont val="Tahoma"/>
            <family val="2"/>
          </rPr>
          <t>建辉</t>
        </r>
        <r>
          <rPr>
            <b/>
            <sz val="10"/>
            <color rgb="FF000000"/>
            <rFont val="Tahoma"/>
            <family val="2"/>
          </rPr>
          <t xml:space="preserve"> </t>
        </r>
        <r>
          <rPr>
            <b/>
            <sz val="10"/>
            <color rgb="FF000000"/>
            <rFont val="Tahoma"/>
            <family val="2"/>
          </rPr>
          <t>陶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For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cloud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service,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it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does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not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charge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incoming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traffic,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but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it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charges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outbound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traffic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based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on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volume</t>
        </r>
      </text>
    </comment>
    <comment ref="C26" authorId="0" shapeId="0" xr:uid="{5F89280A-C078-744A-8446-AC3061D04B76}">
      <text>
        <r>
          <rPr>
            <b/>
            <sz val="10"/>
            <color rgb="FF000000"/>
            <rFont val="Tahoma"/>
            <family val="2"/>
          </rPr>
          <t>建辉</t>
        </r>
        <r>
          <rPr>
            <b/>
            <sz val="10"/>
            <color rgb="FF000000"/>
            <rFont val="Tahoma"/>
            <family val="2"/>
          </rPr>
          <t xml:space="preserve"> </t>
        </r>
        <r>
          <rPr>
            <b/>
            <sz val="10"/>
            <color rgb="FF000000"/>
            <rFont val="Tahoma"/>
            <family val="2"/>
          </rPr>
          <t>陶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After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taosd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starts,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there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are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23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threads,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which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requires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40M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memory.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Each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table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has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overhead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(around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512bytes)</t>
        </r>
        <r>
          <rPr>
            <sz val="10"/>
            <color rgb="FF000000"/>
            <rFont val="Tahoma"/>
            <family val="2"/>
          </rPr>
          <t xml:space="preserve">  </t>
        </r>
        <r>
          <rPr>
            <sz val="10"/>
            <color rgb="FF000000"/>
            <rFont val="Tahoma"/>
            <family val="2"/>
          </rPr>
          <t>for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communication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and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buffers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建辉 陶</author>
  </authors>
  <commentList>
    <comment ref="C21" authorId="0" shapeId="0" xr:uid="{EB56468A-7FC1-684D-AF2F-F562E1BE344C}">
      <text>
        <r>
          <rPr>
            <b/>
            <sz val="10"/>
            <color rgb="FF000000"/>
            <rFont val="Tahoma"/>
            <family val="2"/>
          </rPr>
          <t>建辉</t>
        </r>
        <r>
          <rPr>
            <b/>
            <sz val="10"/>
            <color rgb="FF000000"/>
            <rFont val="Tahoma"/>
            <family val="2"/>
          </rPr>
          <t xml:space="preserve"> </t>
        </r>
        <r>
          <rPr>
            <b/>
            <sz val="10"/>
            <color rgb="FF000000"/>
            <rFont val="Tahoma"/>
            <family val="2"/>
          </rPr>
          <t>陶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For cloud service, it does not charge incoming traffic, but it charges outbound traffic based on volume</t>
        </r>
      </text>
    </comment>
    <comment ref="C29" authorId="0" shapeId="0" xr:uid="{CD69F0D7-CA1D-E948-9737-E0B8864658B9}">
      <text>
        <r>
          <rPr>
            <b/>
            <sz val="10"/>
            <color rgb="FF000000"/>
            <rFont val="Tahoma"/>
            <family val="2"/>
          </rPr>
          <t>建辉</t>
        </r>
        <r>
          <rPr>
            <b/>
            <sz val="10"/>
            <color rgb="FF000000"/>
            <rFont val="Tahoma"/>
            <family val="2"/>
          </rPr>
          <t xml:space="preserve"> </t>
        </r>
        <r>
          <rPr>
            <b/>
            <sz val="10"/>
            <color rgb="FF000000"/>
            <rFont val="Tahoma"/>
            <family val="2"/>
          </rPr>
          <t>陶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After taosd starts, there are 23 threads, which requires 40M memory. Each table has overhead (around 512bytes)  for communication and buffers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建辉 陶</author>
  </authors>
  <commentList>
    <comment ref="C21" authorId="0" shapeId="0" xr:uid="{98139370-4FB3-AC48-ACAF-E7FFC59CBDE7}">
      <text>
        <r>
          <rPr>
            <b/>
            <sz val="10"/>
            <color rgb="FF000000"/>
            <rFont val="Tahoma"/>
            <family val="2"/>
          </rPr>
          <t>建辉</t>
        </r>
        <r>
          <rPr>
            <b/>
            <sz val="10"/>
            <color rgb="FF000000"/>
            <rFont val="Tahoma"/>
            <family val="2"/>
          </rPr>
          <t xml:space="preserve"> </t>
        </r>
        <r>
          <rPr>
            <b/>
            <sz val="10"/>
            <color rgb="FF000000"/>
            <rFont val="Tahoma"/>
            <family val="2"/>
          </rPr>
          <t>陶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For cloud service, it does not charge incoming traffic, but it charges outbound traffic based on volume</t>
        </r>
      </text>
    </comment>
    <comment ref="C29" authorId="0" shapeId="0" xr:uid="{318E7F00-5CC6-B545-808C-9AE198D460C3}">
      <text>
        <r>
          <rPr>
            <b/>
            <sz val="10"/>
            <color rgb="FF000000"/>
            <rFont val="Tahoma"/>
            <family val="2"/>
          </rPr>
          <t>建辉</t>
        </r>
        <r>
          <rPr>
            <b/>
            <sz val="10"/>
            <color rgb="FF000000"/>
            <rFont val="Tahoma"/>
            <family val="2"/>
          </rPr>
          <t xml:space="preserve"> </t>
        </r>
        <r>
          <rPr>
            <b/>
            <sz val="10"/>
            <color rgb="FF000000"/>
            <rFont val="Tahoma"/>
            <family val="2"/>
          </rPr>
          <t>陶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After taosd starts, there are 23 threads, which requires 40M memory. Each table has overhead (around 512bytes)  for communication and buffers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建辉 陶</author>
  </authors>
  <commentList>
    <comment ref="C23" authorId="0" shapeId="0" xr:uid="{4910350A-A79A-0042-B18A-55AB8F34FA6E}">
      <text>
        <r>
          <rPr>
            <b/>
            <sz val="10"/>
            <color rgb="FF000000"/>
            <rFont val="Tahoma"/>
            <family val="2"/>
          </rPr>
          <t>建辉</t>
        </r>
        <r>
          <rPr>
            <b/>
            <sz val="10"/>
            <color rgb="FF000000"/>
            <rFont val="Tahoma"/>
            <family val="2"/>
          </rPr>
          <t xml:space="preserve"> </t>
        </r>
        <r>
          <rPr>
            <b/>
            <sz val="10"/>
            <color rgb="FF000000"/>
            <rFont val="Tahoma"/>
            <family val="2"/>
          </rPr>
          <t>陶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For cloud service, it does not charge incoming traffic, but it charges outbound traffic based on volume</t>
        </r>
      </text>
    </comment>
    <comment ref="C35" authorId="0" shapeId="0" xr:uid="{2F513179-20DC-9A46-BCD4-6A7ACA92726A}">
      <text>
        <r>
          <rPr>
            <b/>
            <sz val="10"/>
            <color rgb="FF000000"/>
            <rFont val="Tahoma"/>
            <family val="2"/>
          </rPr>
          <t>建辉</t>
        </r>
        <r>
          <rPr>
            <b/>
            <sz val="10"/>
            <color rgb="FF000000"/>
            <rFont val="Tahoma"/>
            <family val="2"/>
          </rPr>
          <t xml:space="preserve"> </t>
        </r>
        <r>
          <rPr>
            <b/>
            <sz val="10"/>
            <color rgb="FF000000"/>
            <rFont val="Tahoma"/>
            <family val="2"/>
          </rPr>
          <t>陶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After taosd starts, there are 23 threads, which requires 40M memory. Each table has overhead (around 512bytes)  for communication and buffers</t>
        </r>
      </text>
    </comment>
  </commentList>
</comments>
</file>

<file path=xl/sharedStrings.xml><?xml version="1.0" encoding="utf-8"?>
<sst xmlns="http://schemas.openxmlformats.org/spreadsheetml/2006/main" count="128" uniqueCount="55">
  <si>
    <t>Number of Columns</t>
  </si>
  <si>
    <t>Row Size(bytes)</t>
  </si>
  <si>
    <t>Number of Meters</t>
  </si>
  <si>
    <t>Cache Pool Size(G)</t>
  </si>
  <si>
    <t>Meta Data(G)</t>
  </si>
  <si>
    <t>Sampling Period(seconds)</t>
  </si>
  <si>
    <t>Records Per Second</t>
  </si>
  <si>
    <t>Raw Data Per Second(M)</t>
  </si>
  <si>
    <t>Raw Data Per Day(G)</t>
  </si>
  <si>
    <t>Number of Records a batch</t>
  </si>
  <si>
    <t>Bandwidth(Mbits)</t>
  </si>
  <si>
    <t>Disk Increase Per Day(G)</t>
  </si>
  <si>
    <t>Compression Ratio</t>
  </si>
  <si>
    <t>Other Memory(G)</t>
  </si>
  <si>
    <t>MeterObj on Vnode(G)</t>
  </si>
  <si>
    <t>Total Memory Size(G)</t>
  </si>
  <si>
    <t>Outbound Data Per Month(GB)</t>
  </si>
  <si>
    <t>TabObj size on Mnode(bytes)</t>
  </si>
  <si>
    <t>MeterObj size on Vnode (bytes)</t>
  </si>
  <si>
    <t>Input</t>
  </si>
  <si>
    <t>Memory</t>
  </si>
  <si>
    <t>Disk &amp; Bandwidth</t>
  </si>
  <si>
    <t>Servers</t>
  </si>
  <si>
    <t>Average Cache Blocks a Table</t>
  </si>
  <si>
    <t>Cache Block Size(bytes)</t>
  </si>
  <si>
    <t>Average Rows in Cache per Table</t>
  </si>
  <si>
    <t>Number of CPU Cores Required</t>
  </si>
  <si>
    <t>Rows per Day</t>
  </si>
  <si>
    <t>Points Per Second</t>
  </si>
  <si>
    <t>每个表的表名长度</t>
  </si>
  <si>
    <t>Meta Data(M)</t>
  </si>
  <si>
    <t>Cache Block Size(M)</t>
  </si>
  <si>
    <t>Other Memory(M)</t>
  </si>
  <si>
    <t>MeterObj on Vnode(M)</t>
  </si>
  <si>
    <t>每个CPU核处理的数据表</t>
  </si>
  <si>
    <t>所有Vnode的cache(M)</t>
  </si>
  <si>
    <t>每个表的标签长度(bytes)</t>
  </si>
  <si>
    <t>每秒请求数目</t>
  </si>
  <si>
    <t>Vnode的数目</t>
  </si>
  <si>
    <t>Meta Data on Mnode(M)</t>
  </si>
  <si>
    <t>TableObj on Vnode(M)</t>
  </si>
  <si>
    <t>TableObj size on Vnode (bytes)</t>
  </si>
  <si>
    <t>Total Memory Size(M)</t>
  </si>
  <si>
    <t>假设每个核每秒处理1000条写入请求（您提的1个核1万条太高，实际生产场景不能这么用）</t>
  </si>
  <si>
    <t>假设每个核每秒处理5000条写入请求</t>
  </si>
  <si>
    <t>Number of Tables</t>
  </si>
  <si>
    <t>Cache Block Size(MB)</t>
  </si>
  <si>
    <t>Length of Tags for a Table (Bytes)</t>
  </si>
  <si>
    <t>Length of Table Name (Bytes)</t>
  </si>
  <si>
    <t>Row Size (Bytes)</t>
  </si>
  <si>
    <t>Sampling Period (seconds)</t>
  </si>
  <si>
    <t>Raw Data Per Day (GB)</t>
  </si>
  <si>
    <t>Disk Increase Per Day (GB)</t>
  </si>
  <si>
    <t>·</t>
  </si>
  <si>
    <t>Total Memory Size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</si>
</sst>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000000"/>
      <name val="Menlo"/>
      <family val="2"/>
    </font>
    <font>
      <sz val="12"/>
      <color rgb="FF008000"/>
      <name val="Menlo"/>
      <family val="2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3" borderId="1" xfId="0" applyFill="1" applyBorder="1"/>
    <xf numFmtId="0" fontId="4" fillId="0" borderId="0" xfId="0" applyFont="1"/>
    <xf numFmtId="0" fontId="3" fillId="0" borderId="0" xfId="0" applyFont="1"/>
    <xf numFmtId="0" fontId="0" fillId="4" borderId="1" xfId="0" applyFill="1" applyBorder="1"/>
    <xf numFmtId="0" fontId="0" fillId="2" borderId="1" xfId="0" applyFill="1" applyBorder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4417-2C78-1241-8590-9D927C1DA8F9}">
  <dimension ref="B2:C34"/>
  <sheetViews>
    <sheetView workbookViewId="0">
      <selection activeCell="C38" sqref="C38"/>
    </sheetView>
  </sheetViews>
  <sheetFormatPr baseColWidth="10" defaultRowHeight="16" x14ac:dyDescent="0.2"/>
  <cols>
    <col min="1" max="1" width="5.1640625" customWidth="1"/>
    <col min="2" max="2" width="28" customWidth="1"/>
    <col min="3" max="3" width="12.33203125" bestFit="1" customWidth="1"/>
  </cols>
  <sheetData>
    <row r="2" spans="2:3" x14ac:dyDescent="0.2">
      <c r="B2" s="6" t="s">
        <v>19</v>
      </c>
      <c r="C2" s="6"/>
    </row>
    <row r="3" spans="2:3" x14ac:dyDescent="0.2">
      <c r="B3" s="1" t="s">
        <v>0</v>
      </c>
      <c r="C3" s="1">
        <v>3</v>
      </c>
    </row>
    <row r="4" spans="2:3" x14ac:dyDescent="0.2">
      <c r="B4" s="1" t="s">
        <v>1</v>
      </c>
      <c r="C4" s="1">
        <v>32</v>
      </c>
    </row>
    <row r="5" spans="2:3" x14ac:dyDescent="0.2">
      <c r="B5" s="1" t="s">
        <v>23</v>
      </c>
      <c r="C5" s="1">
        <v>4</v>
      </c>
    </row>
    <row r="6" spans="2:3" x14ac:dyDescent="0.2">
      <c r="B6" s="1" t="s">
        <v>24</v>
      </c>
      <c r="C6" s="1">
        <v>16000</v>
      </c>
    </row>
    <row r="7" spans="2:3" x14ac:dyDescent="0.2">
      <c r="B7" s="1" t="s">
        <v>2</v>
      </c>
      <c r="C7" s="1">
        <v>100000</v>
      </c>
    </row>
    <row r="8" spans="2:3" x14ac:dyDescent="0.2">
      <c r="B8" s="1" t="s">
        <v>5</v>
      </c>
      <c r="C8" s="1">
        <v>10</v>
      </c>
    </row>
    <row r="9" spans="2:3" x14ac:dyDescent="0.2">
      <c r="B9" s="1" t="s">
        <v>9</v>
      </c>
      <c r="C9" s="1">
        <v>100</v>
      </c>
    </row>
    <row r="10" spans="2:3" x14ac:dyDescent="0.2">
      <c r="B10" s="1" t="s">
        <v>12</v>
      </c>
      <c r="C10" s="1">
        <v>0.5</v>
      </c>
    </row>
    <row r="11" spans="2:3" x14ac:dyDescent="0.2">
      <c r="B11" s="1"/>
      <c r="C11" s="1"/>
    </row>
    <row r="12" spans="2:3" x14ac:dyDescent="0.2">
      <c r="B12" s="6" t="s">
        <v>21</v>
      </c>
      <c r="C12" s="6"/>
    </row>
    <row r="13" spans="2:3" x14ac:dyDescent="0.2">
      <c r="B13" s="1" t="s">
        <v>6</v>
      </c>
      <c r="C13" s="1">
        <f>C7/C8</f>
        <v>10000</v>
      </c>
    </row>
    <row r="14" spans="2:3" x14ac:dyDescent="0.2">
      <c r="B14" s="1" t="s">
        <v>7</v>
      </c>
      <c r="C14" s="1">
        <f>C13*C4/1000000</f>
        <v>0.32</v>
      </c>
    </row>
    <row r="15" spans="2:3" x14ac:dyDescent="0.2">
      <c r="B15" s="2" t="s">
        <v>8</v>
      </c>
      <c r="C15" s="2">
        <f xml:space="preserve"> C14*24*3600/1000</f>
        <v>27.648</v>
      </c>
    </row>
    <row r="16" spans="2:3" x14ac:dyDescent="0.2">
      <c r="B16" s="2" t="s">
        <v>11</v>
      </c>
      <c r="C16" s="2">
        <f>C15*C10</f>
        <v>13.824</v>
      </c>
    </row>
    <row r="17" spans="2:3" x14ac:dyDescent="0.2">
      <c r="B17" s="2" t="s">
        <v>10</v>
      </c>
      <c r="C17" s="2">
        <f>(C4*C9+60+28)*C13/C9*8/1000000</f>
        <v>2.6303999999999998</v>
      </c>
    </row>
    <row r="18" spans="2:3" x14ac:dyDescent="0.2">
      <c r="B18" s="2" t="s">
        <v>16</v>
      </c>
      <c r="C18" s="2">
        <f>(60+28)*C13*3600*24*30/C9/1000000/1000</f>
        <v>22.8096</v>
      </c>
    </row>
    <row r="19" spans="2:3" x14ac:dyDescent="0.2">
      <c r="B19" s="1"/>
      <c r="C19" s="1"/>
    </row>
    <row r="20" spans="2:3" x14ac:dyDescent="0.2">
      <c r="B20" s="6" t="s">
        <v>20</v>
      </c>
      <c r="C20" s="6"/>
    </row>
    <row r="21" spans="2:3" x14ac:dyDescent="0.2">
      <c r="B21" s="1" t="s">
        <v>17</v>
      </c>
      <c r="C21" s="1">
        <f>288+C3*69</f>
        <v>495</v>
      </c>
    </row>
    <row r="22" spans="2:3" x14ac:dyDescent="0.2">
      <c r="B22" s="1" t="s">
        <v>18</v>
      </c>
      <c r="C22" s="1">
        <f>256+C3*6</f>
        <v>274</v>
      </c>
    </row>
    <row r="23" spans="2:3" x14ac:dyDescent="0.2">
      <c r="B23" s="1" t="s">
        <v>4</v>
      </c>
      <c r="C23" s="1">
        <f>C21*C7/1000000000</f>
        <v>4.9500000000000002E-2</v>
      </c>
    </row>
    <row r="24" spans="2:3" x14ac:dyDescent="0.2">
      <c r="B24" s="1" t="s">
        <v>3</v>
      </c>
      <c r="C24" s="1">
        <f>C6*C5*C7/1000000000</f>
        <v>6.4</v>
      </c>
    </row>
    <row r="25" spans="2:3" x14ac:dyDescent="0.2">
      <c r="B25" s="1" t="s">
        <v>14</v>
      </c>
      <c r="C25" s="1">
        <f>C22*C7/1000000000</f>
        <v>2.7400000000000001E-2</v>
      </c>
    </row>
    <row r="26" spans="2:3" x14ac:dyDescent="0.2">
      <c r="B26" s="1" t="s">
        <v>13</v>
      </c>
      <c r="C26" s="1">
        <f>512*C7/1000000000+0.04</f>
        <v>9.1200000000000003E-2</v>
      </c>
    </row>
    <row r="27" spans="2:3" x14ac:dyDescent="0.2">
      <c r="B27" s="2" t="s">
        <v>25</v>
      </c>
      <c r="C27" s="2">
        <f>C5*(C6-32-8*C3)/C4</f>
        <v>1993</v>
      </c>
    </row>
    <row r="28" spans="2:3" x14ac:dyDescent="0.2">
      <c r="B28" s="2" t="s">
        <v>15</v>
      </c>
      <c r="C28" s="2">
        <f>C23+C24+C25+C26</f>
        <v>6.5681000000000003</v>
      </c>
    </row>
    <row r="29" spans="2:3" x14ac:dyDescent="0.2">
      <c r="B29" s="1"/>
      <c r="C29" s="1"/>
    </row>
    <row r="30" spans="2:3" x14ac:dyDescent="0.2">
      <c r="B30" s="6" t="s">
        <v>22</v>
      </c>
      <c r="C30" s="6"/>
    </row>
    <row r="31" spans="2:3" x14ac:dyDescent="0.2">
      <c r="B31" s="2" t="s">
        <v>26</v>
      </c>
      <c r="C31" s="2">
        <f>C13/20000/C9</f>
        <v>5.0000000000000001E-3</v>
      </c>
    </row>
    <row r="33" spans="2:3" x14ac:dyDescent="0.2">
      <c r="B33" s="3"/>
      <c r="C33" s="4"/>
    </row>
    <row r="34" spans="2:3" x14ac:dyDescent="0.2">
      <c r="B34" s="3"/>
      <c r="C34" s="4"/>
    </row>
  </sheetData>
  <mergeCells count="4">
    <mergeCell ref="B2:C2"/>
    <mergeCell ref="B12:C12"/>
    <mergeCell ref="B20:C20"/>
    <mergeCell ref="B30:C3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7"/>
  <sheetViews>
    <sheetView zoomScaleNormal="100" zoomScalePageLayoutView="126" workbookViewId="0">
      <selection activeCell="B29" sqref="A1:XFD1048576"/>
    </sheetView>
  </sheetViews>
  <sheetFormatPr baseColWidth="10" defaultRowHeight="16" x14ac:dyDescent="0.2"/>
  <cols>
    <col min="1" max="1" width="5.1640625" customWidth="1"/>
    <col min="2" max="2" width="28" customWidth="1"/>
    <col min="3" max="3" width="12.33203125" bestFit="1" customWidth="1"/>
  </cols>
  <sheetData>
    <row r="2" spans="2:3" x14ac:dyDescent="0.2">
      <c r="B2" s="6" t="s">
        <v>19</v>
      </c>
      <c r="C2" s="6"/>
    </row>
    <row r="3" spans="2:3" x14ac:dyDescent="0.2">
      <c r="B3" s="1" t="s">
        <v>0</v>
      </c>
      <c r="C3" s="1">
        <v>3</v>
      </c>
    </row>
    <row r="4" spans="2:3" x14ac:dyDescent="0.2">
      <c r="B4" s="1" t="s">
        <v>1</v>
      </c>
      <c r="C4" s="1">
        <v>32</v>
      </c>
    </row>
    <row r="5" spans="2:3" x14ac:dyDescent="0.2">
      <c r="B5" s="1" t="s">
        <v>29</v>
      </c>
      <c r="C5" s="1">
        <v>48</v>
      </c>
    </row>
    <row r="6" spans="2:3" x14ac:dyDescent="0.2">
      <c r="B6" s="1" t="s">
        <v>36</v>
      </c>
      <c r="C6" s="1">
        <v>64</v>
      </c>
    </row>
    <row r="7" spans="2:3" x14ac:dyDescent="0.2">
      <c r="B7" s="1" t="s">
        <v>34</v>
      </c>
      <c r="C7" s="1">
        <v>20000</v>
      </c>
    </row>
    <row r="8" spans="2:3" x14ac:dyDescent="0.2">
      <c r="B8" s="1" t="s">
        <v>23</v>
      </c>
      <c r="C8" s="1">
        <v>6</v>
      </c>
    </row>
    <row r="9" spans="2:3" x14ac:dyDescent="0.2">
      <c r="B9" s="1" t="s">
        <v>31</v>
      </c>
      <c r="C9" s="1">
        <v>16</v>
      </c>
    </row>
    <row r="10" spans="2:3" x14ac:dyDescent="0.2">
      <c r="B10" s="1" t="s">
        <v>2</v>
      </c>
      <c r="C10" s="1">
        <v>100000</v>
      </c>
    </row>
    <row r="11" spans="2:3" x14ac:dyDescent="0.2">
      <c r="B11" s="1" t="s">
        <v>5</v>
      </c>
      <c r="C11" s="1">
        <v>10</v>
      </c>
    </row>
    <row r="12" spans="2:3" x14ac:dyDescent="0.2">
      <c r="B12" s="1" t="s">
        <v>9</v>
      </c>
      <c r="C12" s="1">
        <v>100</v>
      </c>
    </row>
    <row r="13" spans="2:3" x14ac:dyDescent="0.2">
      <c r="B13" s="1" t="s">
        <v>12</v>
      </c>
      <c r="C13" s="1">
        <v>0.5</v>
      </c>
    </row>
    <row r="14" spans="2:3" x14ac:dyDescent="0.2">
      <c r="B14" s="1"/>
      <c r="C14" s="1"/>
    </row>
    <row r="15" spans="2:3" x14ac:dyDescent="0.2">
      <c r="B15" s="6" t="s">
        <v>21</v>
      </c>
      <c r="C15" s="6"/>
    </row>
    <row r="16" spans="2:3" x14ac:dyDescent="0.2">
      <c r="B16" s="1" t="s">
        <v>6</v>
      </c>
      <c r="C16" s="1">
        <f>C10/C11</f>
        <v>10000</v>
      </c>
    </row>
    <row r="17" spans="2:3" x14ac:dyDescent="0.2">
      <c r="B17" s="1" t="s">
        <v>7</v>
      </c>
      <c r="C17" s="1">
        <f>C16*C4/1000000</f>
        <v>0.32</v>
      </c>
    </row>
    <row r="18" spans="2:3" x14ac:dyDescent="0.2">
      <c r="B18" s="2" t="s">
        <v>8</v>
      </c>
      <c r="C18" s="2">
        <f xml:space="preserve"> C17*24*3600/1000</f>
        <v>27.648</v>
      </c>
    </row>
    <row r="19" spans="2:3" x14ac:dyDescent="0.2">
      <c r="B19" s="2" t="s">
        <v>11</v>
      </c>
      <c r="C19" s="2">
        <f>C18*C13</f>
        <v>13.824</v>
      </c>
    </row>
    <row r="20" spans="2:3" x14ac:dyDescent="0.2">
      <c r="B20" s="2" t="s">
        <v>10</v>
      </c>
      <c r="C20" s="2">
        <f>(C4*C12+60+28)*C16/C12*8/1000000</f>
        <v>2.6303999999999998</v>
      </c>
    </row>
    <row r="21" spans="2:3" x14ac:dyDescent="0.2">
      <c r="B21" s="2" t="s">
        <v>16</v>
      </c>
      <c r="C21" s="2">
        <f>(60+28)*C16*3600*24*30/C12/1000000/1000</f>
        <v>22.8096</v>
      </c>
    </row>
    <row r="22" spans="2:3" x14ac:dyDescent="0.2">
      <c r="B22" s="1"/>
      <c r="C22" s="1"/>
    </row>
    <row r="23" spans="2:3" x14ac:dyDescent="0.2">
      <c r="B23" s="6" t="s">
        <v>20</v>
      </c>
      <c r="C23" s="6"/>
    </row>
    <row r="24" spans="2:3" x14ac:dyDescent="0.2">
      <c r="B24" s="1" t="s">
        <v>17</v>
      </c>
      <c r="C24" s="1">
        <f>150+C5</f>
        <v>198</v>
      </c>
    </row>
    <row r="25" spans="2:3" x14ac:dyDescent="0.2">
      <c r="B25" s="1" t="s">
        <v>18</v>
      </c>
      <c r="C25" s="1">
        <f>350+C5+C6</f>
        <v>462</v>
      </c>
    </row>
    <row r="26" spans="2:3" x14ac:dyDescent="0.2">
      <c r="B26" s="1" t="s">
        <v>30</v>
      </c>
      <c r="C26" s="1">
        <f>C24*C10/1000000</f>
        <v>19.8</v>
      </c>
    </row>
    <row r="27" spans="2:3" x14ac:dyDescent="0.2">
      <c r="B27" s="1" t="s">
        <v>35</v>
      </c>
      <c r="C27" s="1">
        <f>C9*C8*(C10/C7)</f>
        <v>480</v>
      </c>
    </row>
    <row r="28" spans="2:3" x14ac:dyDescent="0.2">
      <c r="B28" s="1" t="s">
        <v>33</v>
      </c>
      <c r="C28" s="1">
        <f>C25*C10/1000000</f>
        <v>46.2</v>
      </c>
    </row>
    <row r="29" spans="2:3" x14ac:dyDescent="0.2">
      <c r="B29" s="1" t="s">
        <v>32</v>
      </c>
      <c r="C29" s="1">
        <f>512*C10/1000000</f>
        <v>51.2</v>
      </c>
    </row>
    <row r="30" spans="2:3" x14ac:dyDescent="0.2">
      <c r="B30" s="2" t="s">
        <v>25</v>
      </c>
      <c r="C30" s="2">
        <f>C8*C9*1000000/(C4*C7)</f>
        <v>150</v>
      </c>
    </row>
    <row r="31" spans="2:3" x14ac:dyDescent="0.2">
      <c r="B31" s="2" t="s">
        <v>15</v>
      </c>
      <c r="C31" s="2">
        <f>C26+C27+C28+C29</f>
        <v>597.20000000000005</v>
      </c>
    </row>
    <row r="32" spans="2:3" x14ac:dyDescent="0.2">
      <c r="B32" s="1"/>
      <c r="C32" s="1"/>
    </row>
    <row r="33" spans="2:3" x14ac:dyDescent="0.2">
      <c r="B33" s="6" t="s">
        <v>22</v>
      </c>
      <c r="C33" s="6"/>
    </row>
    <row r="34" spans="2:3" x14ac:dyDescent="0.2">
      <c r="B34" s="2" t="s">
        <v>26</v>
      </c>
      <c r="C34" s="2">
        <f>C10/C7</f>
        <v>5</v>
      </c>
    </row>
    <row r="36" spans="2:3" x14ac:dyDescent="0.2">
      <c r="B36" s="3" t="s">
        <v>27</v>
      </c>
      <c r="C36" s="4">
        <f xml:space="preserve"> C10 *24 * 3600 / C11</f>
        <v>864000000</v>
      </c>
    </row>
    <row r="37" spans="2:3" x14ac:dyDescent="0.2">
      <c r="B37" s="3" t="s">
        <v>28</v>
      </c>
      <c r="C37" s="4">
        <f xml:space="preserve"> C36 * C3 / 86400</f>
        <v>30000</v>
      </c>
    </row>
  </sheetData>
  <mergeCells count="4">
    <mergeCell ref="B2:C2"/>
    <mergeCell ref="B15:C15"/>
    <mergeCell ref="B23:C23"/>
    <mergeCell ref="B33:C3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EE3A-D484-6645-A430-2752C3652FC8}">
  <dimension ref="B2:D38"/>
  <sheetViews>
    <sheetView workbookViewId="0">
      <selection activeCell="D35" sqref="D35"/>
    </sheetView>
  </sheetViews>
  <sheetFormatPr baseColWidth="10" defaultRowHeight="16" x14ac:dyDescent="0.2"/>
  <cols>
    <col min="1" max="1" width="5.1640625" customWidth="1"/>
    <col min="2" max="2" width="28" customWidth="1"/>
    <col min="3" max="3" width="12.33203125" bestFit="1" customWidth="1"/>
    <col min="4" max="4" width="10.83203125" customWidth="1"/>
  </cols>
  <sheetData>
    <row r="2" spans="2:3" x14ac:dyDescent="0.2">
      <c r="B2" s="6" t="s">
        <v>19</v>
      </c>
      <c r="C2" s="6"/>
    </row>
    <row r="3" spans="2:3" x14ac:dyDescent="0.2">
      <c r="B3" s="1" t="s">
        <v>0</v>
      </c>
      <c r="C3" s="1">
        <v>3</v>
      </c>
    </row>
    <row r="4" spans="2:3" x14ac:dyDescent="0.2">
      <c r="B4" s="1" t="s">
        <v>1</v>
      </c>
      <c r="C4" s="1">
        <v>32</v>
      </c>
    </row>
    <row r="5" spans="2:3" x14ac:dyDescent="0.2">
      <c r="B5" s="1" t="s">
        <v>29</v>
      </c>
      <c r="C5" s="1">
        <v>48</v>
      </c>
    </row>
    <row r="6" spans="2:3" x14ac:dyDescent="0.2">
      <c r="B6" s="1" t="s">
        <v>36</v>
      </c>
      <c r="C6" s="1">
        <v>64</v>
      </c>
    </row>
    <row r="7" spans="2:3" x14ac:dyDescent="0.2">
      <c r="B7" s="1" t="s">
        <v>23</v>
      </c>
      <c r="C7" s="1">
        <v>6</v>
      </c>
    </row>
    <row r="8" spans="2:3" x14ac:dyDescent="0.2">
      <c r="B8" s="1" t="s">
        <v>31</v>
      </c>
      <c r="C8" s="1">
        <v>16</v>
      </c>
    </row>
    <row r="9" spans="2:3" x14ac:dyDescent="0.2">
      <c r="B9" s="1" t="s">
        <v>2</v>
      </c>
      <c r="C9" s="1">
        <v>100000</v>
      </c>
    </row>
    <row r="10" spans="2:3" x14ac:dyDescent="0.2">
      <c r="B10" s="1" t="s">
        <v>5</v>
      </c>
      <c r="C10" s="1">
        <v>10</v>
      </c>
    </row>
    <row r="11" spans="2:3" x14ac:dyDescent="0.2">
      <c r="B11" s="1" t="s">
        <v>9</v>
      </c>
      <c r="C11" s="1">
        <v>100</v>
      </c>
    </row>
    <row r="12" spans="2:3" x14ac:dyDescent="0.2">
      <c r="B12" s="1" t="s">
        <v>12</v>
      </c>
      <c r="C12" s="1">
        <v>0.5</v>
      </c>
    </row>
    <row r="13" spans="2:3" x14ac:dyDescent="0.2">
      <c r="B13" s="1"/>
      <c r="C13" s="1"/>
    </row>
    <row r="14" spans="2:3" x14ac:dyDescent="0.2">
      <c r="B14" s="6" t="s">
        <v>21</v>
      </c>
      <c r="C14" s="6"/>
    </row>
    <row r="15" spans="2:3" x14ac:dyDescent="0.2">
      <c r="B15" s="1" t="s">
        <v>6</v>
      </c>
      <c r="C15" s="1">
        <f>C9/C10</f>
        <v>10000</v>
      </c>
    </row>
    <row r="16" spans="2:3" x14ac:dyDescent="0.2">
      <c r="B16" s="1" t="s">
        <v>37</v>
      </c>
      <c r="C16" s="1">
        <f>C15/C11</f>
        <v>100</v>
      </c>
    </row>
    <row r="17" spans="2:3" x14ac:dyDescent="0.2">
      <c r="B17" s="1" t="s">
        <v>7</v>
      </c>
      <c r="C17" s="1">
        <f>C15*C4/1000000</f>
        <v>0.32</v>
      </c>
    </row>
    <row r="18" spans="2:3" x14ac:dyDescent="0.2">
      <c r="B18" s="2" t="s">
        <v>8</v>
      </c>
      <c r="C18" s="2">
        <f xml:space="preserve"> C17*24*3600/1000</f>
        <v>27.648</v>
      </c>
    </row>
    <row r="19" spans="2:3" x14ac:dyDescent="0.2">
      <c r="B19" s="2" t="s">
        <v>11</v>
      </c>
      <c r="C19" s="2">
        <f>C18*C12</f>
        <v>13.824</v>
      </c>
    </row>
    <row r="20" spans="2:3" x14ac:dyDescent="0.2">
      <c r="B20" s="2" t="s">
        <v>10</v>
      </c>
      <c r="C20" s="2">
        <f>(C4*C11+60+28)*C15/C11*8/1000000</f>
        <v>2.6303999999999998</v>
      </c>
    </row>
    <row r="21" spans="2:3" x14ac:dyDescent="0.2">
      <c r="B21" s="2" t="s">
        <v>16</v>
      </c>
      <c r="C21" s="2">
        <f>(60+28)*C15*3600*24*30/C11/1000000/1000</f>
        <v>22.8096</v>
      </c>
    </row>
    <row r="22" spans="2:3" x14ac:dyDescent="0.2">
      <c r="B22" s="1"/>
      <c r="C22" s="1"/>
    </row>
    <row r="23" spans="2:3" x14ac:dyDescent="0.2">
      <c r="B23" s="6" t="s">
        <v>20</v>
      </c>
      <c r="C23" s="6"/>
    </row>
    <row r="24" spans="2:3" x14ac:dyDescent="0.2">
      <c r="B24" s="1" t="s">
        <v>17</v>
      </c>
      <c r="C24" s="1">
        <f>150+C5</f>
        <v>198</v>
      </c>
    </row>
    <row r="25" spans="2:3" x14ac:dyDescent="0.2">
      <c r="B25" s="1" t="s">
        <v>41</v>
      </c>
      <c r="C25" s="1">
        <f>350+C5+C6</f>
        <v>462</v>
      </c>
    </row>
    <row r="26" spans="2:3" x14ac:dyDescent="0.2">
      <c r="B26" s="1" t="s">
        <v>39</v>
      </c>
      <c r="C26" s="1">
        <f>C24*C9/1000000</f>
        <v>19.8</v>
      </c>
    </row>
    <row r="27" spans="2:3" x14ac:dyDescent="0.2">
      <c r="B27" s="1" t="s">
        <v>35</v>
      </c>
      <c r="C27" s="1">
        <f>C8*C7*C34</f>
        <v>192</v>
      </c>
    </row>
    <row r="28" spans="2:3" x14ac:dyDescent="0.2">
      <c r="B28" s="1" t="s">
        <v>40</v>
      </c>
      <c r="C28" s="1">
        <f>C25*C9/1000000</f>
        <v>46.2</v>
      </c>
    </row>
    <row r="29" spans="2:3" x14ac:dyDescent="0.2">
      <c r="B29" s="1" t="s">
        <v>32</v>
      </c>
      <c r="C29" s="1">
        <f>512*C9/1000000</f>
        <v>51.2</v>
      </c>
    </row>
    <row r="30" spans="2:3" x14ac:dyDescent="0.2">
      <c r="B30" s="2" t="s">
        <v>25</v>
      </c>
      <c r="C30" s="2">
        <f>C7*C8*1000000/(C9/C34)/C4</f>
        <v>60</v>
      </c>
    </row>
    <row r="31" spans="2:3" x14ac:dyDescent="0.2">
      <c r="B31" s="2" t="s">
        <v>42</v>
      </c>
      <c r="C31" s="2">
        <f>C26+C27+C28+C29</f>
        <v>309.2</v>
      </c>
    </row>
    <row r="32" spans="2:3" x14ac:dyDescent="0.2">
      <c r="B32" s="1"/>
      <c r="C32" s="1"/>
    </row>
    <row r="33" spans="2:4" x14ac:dyDescent="0.2">
      <c r="B33" s="6" t="s">
        <v>22</v>
      </c>
      <c r="C33" s="6"/>
    </row>
    <row r="34" spans="2:4" x14ac:dyDescent="0.2">
      <c r="B34" s="5" t="s">
        <v>38</v>
      </c>
      <c r="C34" s="5">
        <f>CEILING(C35,2)</f>
        <v>2</v>
      </c>
    </row>
    <row r="35" spans="2:4" x14ac:dyDescent="0.2">
      <c r="B35" s="2" t="s">
        <v>26</v>
      </c>
      <c r="C35" s="2">
        <f>CEILING(C16/1000,1)</f>
        <v>1</v>
      </c>
      <c r="D35" t="s">
        <v>43</v>
      </c>
    </row>
    <row r="37" spans="2:4" x14ac:dyDescent="0.2">
      <c r="B37" s="3" t="s">
        <v>27</v>
      </c>
      <c r="C37" s="4">
        <f xml:space="preserve"> C9 *24 * 3600 / C10</f>
        <v>864000000</v>
      </c>
    </row>
    <row r="38" spans="2:4" x14ac:dyDescent="0.2">
      <c r="B38" s="3" t="s">
        <v>28</v>
      </c>
      <c r="C38" s="4">
        <f xml:space="preserve"> C37 * C3 / 86400</f>
        <v>30000</v>
      </c>
    </row>
  </sheetData>
  <mergeCells count="4">
    <mergeCell ref="B2:C2"/>
    <mergeCell ref="B14:C14"/>
    <mergeCell ref="B23:C23"/>
    <mergeCell ref="B33:C3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91BA-8BC8-5747-92D2-597F1602CD16}">
  <dimension ref="A2:D38"/>
  <sheetViews>
    <sheetView tabSelected="1" workbookViewId="0">
      <selection activeCell="C12" sqref="C12"/>
    </sheetView>
  </sheetViews>
  <sheetFormatPr baseColWidth="10" defaultRowHeight="16" x14ac:dyDescent="0.2"/>
  <cols>
    <col min="1" max="1" width="5.1640625" customWidth="1"/>
    <col min="2" max="2" width="35.83203125" customWidth="1"/>
    <col min="3" max="3" width="12.33203125" bestFit="1" customWidth="1"/>
  </cols>
  <sheetData>
    <row r="2" spans="2:3" x14ac:dyDescent="0.2">
      <c r="B2" s="6" t="s">
        <v>19</v>
      </c>
      <c r="C2" s="6"/>
    </row>
    <row r="3" spans="2:3" x14ac:dyDescent="0.2">
      <c r="B3" s="1" t="s">
        <v>0</v>
      </c>
      <c r="C3" s="1">
        <v>3</v>
      </c>
    </row>
    <row r="4" spans="2:3" x14ac:dyDescent="0.2">
      <c r="B4" s="1" t="s">
        <v>49</v>
      </c>
      <c r="C4" s="1">
        <v>32</v>
      </c>
    </row>
    <row r="5" spans="2:3" x14ac:dyDescent="0.2">
      <c r="B5" s="1" t="s">
        <v>48</v>
      </c>
      <c r="C5" s="1">
        <v>48</v>
      </c>
    </row>
    <row r="6" spans="2:3" x14ac:dyDescent="0.2">
      <c r="B6" s="1" t="s">
        <v>47</v>
      </c>
      <c r="C6" s="1">
        <v>64</v>
      </c>
    </row>
    <row r="7" spans="2:3" x14ac:dyDescent="0.2">
      <c r="B7" s="1" t="s">
        <v>23</v>
      </c>
      <c r="C7" s="1">
        <v>6</v>
      </c>
    </row>
    <row r="8" spans="2:3" x14ac:dyDescent="0.2">
      <c r="B8" s="1" t="s">
        <v>46</v>
      </c>
      <c r="C8" s="1">
        <v>16</v>
      </c>
    </row>
    <row r="9" spans="2:3" x14ac:dyDescent="0.2">
      <c r="B9" s="1" t="s">
        <v>45</v>
      </c>
      <c r="C9" s="1">
        <v>100000</v>
      </c>
    </row>
    <row r="10" spans="2:3" x14ac:dyDescent="0.2">
      <c r="B10" s="1" t="s">
        <v>50</v>
      </c>
      <c r="C10" s="1">
        <v>10</v>
      </c>
    </row>
    <row r="11" spans="2:3" x14ac:dyDescent="0.2">
      <c r="B11" s="1" t="s">
        <v>9</v>
      </c>
      <c r="C11" s="1">
        <v>100</v>
      </c>
    </row>
    <row r="12" spans="2:3" x14ac:dyDescent="0.2">
      <c r="B12" s="1" t="s">
        <v>12</v>
      </c>
      <c r="C12" s="1">
        <v>0.5</v>
      </c>
    </row>
    <row r="13" spans="2:3" x14ac:dyDescent="0.2">
      <c r="B13" s="1"/>
      <c r="C13" s="1"/>
    </row>
    <row r="14" spans="2:3" x14ac:dyDescent="0.2">
      <c r="B14" s="6" t="s">
        <v>21</v>
      </c>
      <c r="C14" s="6"/>
    </row>
    <row r="15" spans="2:3" x14ac:dyDescent="0.2">
      <c r="B15" s="1" t="s">
        <v>6</v>
      </c>
      <c r="C15" s="1">
        <f>C9/C10</f>
        <v>10000</v>
      </c>
    </row>
    <row r="16" spans="2:3" x14ac:dyDescent="0.2">
      <c r="B16" s="1" t="s">
        <v>37</v>
      </c>
      <c r="C16" s="1">
        <f>C15/C11</f>
        <v>100</v>
      </c>
    </row>
    <row r="17" spans="1:4" x14ac:dyDescent="0.2">
      <c r="B17" s="1" t="s">
        <v>7</v>
      </c>
      <c r="C17" s="1">
        <f>C15*C4/1000000</f>
        <v>0.32</v>
      </c>
    </row>
    <row r="18" spans="1:4" x14ac:dyDescent="0.2">
      <c r="B18" s="2" t="s">
        <v>51</v>
      </c>
      <c r="C18" s="2">
        <f xml:space="preserve"> C17*24*3600/1000</f>
        <v>27.648</v>
      </c>
    </row>
    <row r="19" spans="1:4" x14ac:dyDescent="0.2">
      <c r="B19" s="2" t="s">
        <v>52</v>
      </c>
      <c r="C19" s="2">
        <f>C18*C12</f>
        <v>13.824</v>
      </c>
    </row>
    <row r="20" spans="1:4" x14ac:dyDescent="0.2">
      <c r="B20" s="2" t="s">
        <v>27</v>
      </c>
      <c r="C20" s="2">
        <f xml:space="preserve"> C9 *24 * 3600 / C10</f>
        <v>864000000</v>
      </c>
    </row>
    <row r="21" spans="1:4" x14ac:dyDescent="0.2">
      <c r="B21" s="2" t="s">
        <v>28</v>
      </c>
      <c r="C21" s="2">
        <f xml:space="preserve"> C20 * C3 / 86400</f>
        <v>30000</v>
      </c>
    </row>
    <row r="22" spans="1:4" x14ac:dyDescent="0.2">
      <c r="B22" s="2" t="s">
        <v>10</v>
      </c>
      <c r="C22" s="2">
        <f>(C4*C11+60+28)*C15/C11*8/1000000</f>
        <v>2.6303999999999998</v>
      </c>
    </row>
    <row r="23" spans="1:4" x14ac:dyDescent="0.2">
      <c r="B23" s="2" t="s">
        <v>16</v>
      </c>
      <c r="C23" s="2">
        <f>(60+28)*C15*3600*24*30/C11/1000000/1000</f>
        <v>22.8096</v>
      </c>
    </row>
    <row r="24" spans="1:4" x14ac:dyDescent="0.2">
      <c r="B24" s="1"/>
      <c r="C24" s="1"/>
    </row>
    <row r="25" spans="1:4" x14ac:dyDescent="0.2">
      <c r="B25" s="6" t="s">
        <v>22</v>
      </c>
      <c r="C25" s="6"/>
    </row>
    <row r="26" spans="1:4" x14ac:dyDescent="0.2">
      <c r="B26" s="2" t="s">
        <v>26</v>
      </c>
      <c r="C26" s="2">
        <f>CEILING(C16/5000,1)</f>
        <v>1</v>
      </c>
      <c r="D26" s="7" t="s">
        <v>44</v>
      </c>
    </row>
    <row r="27" spans="1:4" x14ac:dyDescent="0.2">
      <c r="B27" s="5" t="s">
        <v>38</v>
      </c>
      <c r="C27" s="5">
        <f>CEILING(C26,2)</f>
        <v>2</v>
      </c>
    </row>
    <row r="29" spans="1:4" x14ac:dyDescent="0.2">
      <c r="A29" t="s">
        <v>53</v>
      </c>
      <c r="B29" s="6" t="s">
        <v>20</v>
      </c>
      <c r="C29" s="6"/>
    </row>
    <row r="30" spans="1:4" x14ac:dyDescent="0.2">
      <c r="B30" s="1" t="s">
        <v>17</v>
      </c>
      <c r="C30" s="1">
        <f>150+C5</f>
        <v>198</v>
      </c>
    </row>
    <row r="31" spans="1:4" x14ac:dyDescent="0.2">
      <c r="B31" s="1" t="s">
        <v>41</v>
      </c>
      <c r="C31" s="1">
        <f>350+C5+C6</f>
        <v>462</v>
      </c>
    </row>
    <row r="32" spans="1:4" x14ac:dyDescent="0.2">
      <c r="B32" s="1" t="s">
        <v>39</v>
      </c>
      <c r="C32" s="1">
        <f>C30*C9/1000000</f>
        <v>19.8</v>
      </c>
    </row>
    <row r="33" spans="2:3" x14ac:dyDescent="0.2">
      <c r="B33" s="1" t="s">
        <v>35</v>
      </c>
      <c r="C33" s="1">
        <f>C8*C7*C27</f>
        <v>192</v>
      </c>
    </row>
    <row r="34" spans="2:3" x14ac:dyDescent="0.2">
      <c r="B34" s="1" t="s">
        <v>40</v>
      </c>
      <c r="C34" s="1">
        <f>C31*C9/1000000</f>
        <v>46.2</v>
      </c>
    </row>
    <row r="35" spans="2:3" x14ac:dyDescent="0.2">
      <c r="B35" s="1" t="s">
        <v>32</v>
      </c>
      <c r="C35" s="1">
        <f>512*C9/1000000</f>
        <v>51.2</v>
      </c>
    </row>
    <row r="36" spans="2:3" x14ac:dyDescent="0.2">
      <c r="B36" s="2" t="s">
        <v>25</v>
      </c>
      <c r="C36" s="2">
        <f>C7*C8*1000000/(C9/C27)/C4</f>
        <v>60</v>
      </c>
    </row>
    <row r="37" spans="2:3" x14ac:dyDescent="0.2">
      <c r="B37" s="2" t="s">
        <v>54</v>
      </c>
      <c r="C37" s="2">
        <f>C32+C33+C34+C35</f>
        <v>309.2</v>
      </c>
    </row>
    <row r="38" spans="2:3" x14ac:dyDescent="0.2">
      <c r="B38" s="1"/>
      <c r="C38" s="1"/>
    </row>
  </sheetData>
  <mergeCells count="4">
    <mergeCell ref="B2:C2"/>
    <mergeCell ref="B14:C14"/>
    <mergeCell ref="B29:C29"/>
    <mergeCell ref="B25:C2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2018的版本</vt:lpstr>
      <vt:lpstr>2020的版本1</vt:lpstr>
      <vt:lpstr>2020版本2</vt:lpstr>
      <vt:lpstr>2020版本3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2018-05-01T10:44:23Z</dcterms:created>
  <dcterms:modified xsi:type="dcterms:W3CDTF">2020-09-03T02:54:53Z</dcterms:modified>
</cp:coreProperties>
</file>